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Space\starling\res\"/>
    </mc:Choice>
  </mc:AlternateContent>
  <xr:revisionPtr revIDLastSave="0" documentId="13_ncr:1_{80605E03-3510-49E8-8EEA-07BE08F02A9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台架采购清单" sheetId="1" r:id="rId1"/>
    <sheet name="阶段二·装车追加(暂不买)" sheetId="2" r:id="rId2"/>
    <sheet name="说明与PCB方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7" i="2"/>
  <c r="G6" i="2"/>
  <c r="G5" i="2"/>
  <c r="G4" i="2"/>
  <c r="G3" i="2"/>
  <c r="G2" i="2"/>
  <c r="G10" i="2" s="1"/>
  <c r="H44" i="1"/>
  <c r="H43" i="1"/>
  <c r="H42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41" i="1" s="1"/>
  <c r="H2" i="1"/>
</calcChain>
</file>

<file path=xl/sharedStrings.xml><?xml version="1.0" encoding="utf-8"?>
<sst xmlns="http://schemas.openxmlformats.org/spreadsheetml/2006/main" count="349" uniqueCount="241">
  <si>
    <t>序号</t>
  </si>
  <si>
    <t>分类</t>
  </si>
  <si>
    <t>品名</t>
  </si>
  <si>
    <t>推荐型号 / 规格</t>
  </si>
  <si>
    <t>数量</t>
  </si>
  <si>
    <t>单位</t>
  </si>
  <si>
    <t>参考单价(¥)</t>
  </si>
  <si>
    <t>小计(¥)</t>
  </si>
  <si>
    <t>淘宝搜索关键词</t>
  </si>
  <si>
    <t>必要性</t>
  </si>
  <si>
    <t>备注 / 免焊要点</t>
  </si>
  <si>
    <t>电子核心</t>
  </si>
  <si>
    <t>ESP32 开发板</t>
  </si>
  <si>
    <t>ESP32-WROOM-32 DevKitC 38Pin(CP2102 串口)</t>
  </si>
  <si>
    <t>块</t>
  </si>
  <si>
    <t>ESP32 开发板 38Pin CP2102</t>
  </si>
  <si>
    <t>必买</t>
  </si>
  <si>
    <t>含 1 块备件。出厂已焊排针;★与扩展板同店配套买,确认 38P 排针间距匹配</t>
  </si>
  <si>
    <t>ESP32 扩展板</t>
  </si>
  <si>
    <t>38Pin GPIO 扩展板(螺丝端子引出)</t>
  </si>
  <si>
    <t>ESP32 38Pin 扩展板 端子</t>
  </si>
  <si>
    <t>★免焊关键件:端子拧线代替焊接,比面包板抗振;台架/装车通用。ESP32 直插面包板会盖满两侧孔,主控一律走扩展板</t>
  </si>
  <si>
    <t>数字空速计(压差)套装</t>
  </si>
  <si>
    <t>MS4525DO 模块 + PT40 皮托管 + 40cm 软管 + GH4P 线</t>
  </si>
  <si>
    <t>套</t>
  </si>
  <si>
    <t>MS4525 空速计 pixhawk 皮托管</t>
  </si>
  <si>
    <t>±1psi / 14 位 / 分辨率 0.84Pa;5V 供电、I2C 3.3V。行情约 ¥150-230;若有 2.54 排针版列表优先选(可省转接线)</t>
  </si>
  <si>
    <t>GH 转杜邦转接线</t>
  </si>
  <si>
    <t>GH1.25 4P 单头 → 2.54 杜邦母</t>
  </si>
  <si>
    <t>根</t>
  </si>
  <si>
    <t>GH1.25 转杜邦 4P</t>
  </si>
  <si>
    <t>★空速计套装默认 GH 小座非杜邦——免焊约束下必须此线转接;若买到排针版空速计则闲置</t>
  </si>
  <si>
    <t>舵机</t>
  </si>
  <si>
    <t>EMAX ES3054(17g·数字·金属齿·双滚珠轴承·3.5kg·cm@6V·行程 145°)</t>
  </si>
  <si>
    <t>只</t>
  </si>
  <si>
    <t>EMAX ES3054 舵机</t>
  </si>
  <si>
    <t>含 1 只备件。已查证:数字+金属齿+双轴承;脉宽 700-2300µs,固件 us0/us90 装配后标定;JR 插头即 3P 杜邦</t>
  </si>
  <si>
    <t>IMU 模块</t>
  </si>
  <si>
    <t>GY-521(MPU6050)</t>
  </si>
  <si>
    <t>GY-521 MPU6050 已焊排针</t>
  </si>
  <si>
    <t>含 1 块备件。★发货选项必选「已焊排针」;AD0 接 3V3 → 地址 0x69(避开 DS3231 的 0x68)</t>
  </si>
  <si>
    <t>气压温度模块</t>
  </si>
  <si>
    <t>GY-BMP280-3.3</t>
  </si>
  <si>
    <t>BMP280 模块 已焊排针</t>
  </si>
  <si>
    <t>含 1 块备件。★已焊排针;SDO→GND(地址 0x76)、CSB→3V3(锁 I2C 模式)</t>
  </si>
  <si>
    <t>RTC 时钟模块</t>
  </si>
  <si>
    <t>DS3231(ZS-042)+ LIR2032 充电纽扣电池</t>
  </si>
  <si>
    <t>DS3231 模块 LIR2032</t>
  </si>
  <si>
    <t>★必须选配 LIR2032 可充电版:若配 CR2032 需拆板上充电电阻 = 焊接活(不做)。已焊排针</t>
  </si>
  <si>
    <t>microSD 模块</t>
  </si>
  <si>
    <t>3.3V 直连 6P SPI 小板(勿买 5V 电平转换大板)</t>
  </si>
  <si>
    <t>microSD 模块 SPI 3.3V</t>
  </si>
  <si>
    <t>含 1 块备件。★已焊排针;3.3V 直连型与 ESP32 匹配</t>
  </si>
  <si>
    <t>microSD 卡</t>
  </si>
  <si>
    <t>32GB Class10(金士顿 / 闪迪正品)</t>
  </si>
  <si>
    <t>张</t>
  </si>
  <si>
    <t>microSD 32G class10</t>
  </si>
  <si>
    <t>★必须格式化为 FAT32:Windows 对 32G 默认 exFAT,SD 库不识别</t>
  </si>
  <si>
    <t>GPS 模块</t>
  </si>
  <si>
    <t>GY-GPS6MV2(NEO-6M + 陶瓷天线)</t>
  </si>
  <si>
    <t>NEO-6M GPS 模块 已焊排针</t>
  </si>
  <si>
    <t>★已焊排针;冷启动需露天数分钟。可选升级 NEO-M8N(约 ¥50)搜星更快</t>
  </si>
  <si>
    <t>供电</t>
  </si>
  <si>
    <t>USB 充电宝</t>
  </si>
  <si>
    <t>5V ≥2A,支持小电流模式(手环模式)</t>
  </si>
  <si>
    <t>个</t>
  </si>
  <si>
    <t>充电宝 小电流模式</t>
  </si>
  <si>
    <t>已有可跳过</t>
  </si>
  <si>
    <t>★普通充电宝负载 &lt;100mA 几分钟自动断电 → 日志中断(断电本身无害,弹簧回闭合)。已有的先实测会不会自动断</t>
  </si>
  <si>
    <t>USB 取电转接板</t>
  </si>
  <si>
    <t>USB-A 公头 → 接线端子小板(免焊)</t>
  </si>
  <si>
    <t>USB公头 转接线端子</t>
  </si>
  <si>
    <t>从充电宝取 5V 进主轨;端子拧线,整洁可靠</t>
  </si>
  <si>
    <t>电解电容</t>
  </si>
  <si>
    <t>470µF / 16V 直插</t>
  </si>
  <si>
    <t>470uF 16V 电解电容</t>
  </si>
  <si>
    <t>舵机供电就近并联防压降复位;插端子 / 面包板即可,免焊。注意极性(长脚为正)</t>
  </si>
  <si>
    <t>USB 数据线</t>
  </si>
  <si>
    <t>micro-USB(确认支持数据传输)</t>
  </si>
  <si>
    <t>microUSB 数据线</t>
  </si>
  <si>
    <t>★必须是数据线:纯充电线刷不了固件、进不了串口</t>
  </si>
  <si>
    <t>USB 带开关延长线</t>
  </si>
  <si>
    <t>USB 公母延长线带开关</t>
  </si>
  <si>
    <t>USB 延长线 带开关</t>
  </si>
  <si>
    <t>可选</t>
  </si>
  <si>
    <t>台架总电门;做「断电弹簧回闭合」实测很方便</t>
  </si>
  <si>
    <t>连接线材</t>
  </si>
  <si>
    <t>杜邦线</t>
  </si>
  <si>
    <t>公母 / 母母 / 公公 10+20cm 混装 120 根</t>
  </si>
  <si>
    <t>盒</t>
  </si>
  <si>
    <t>杜邦线 120根 混装</t>
  </si>
  <si>
    <t>免焊主力;分色多备</t>
  </si>
  <si>
    <t>面包板</t>
  </si>
  <si>
    <t>830 孔</t>
  </si>
  <si>
    <t>面包板 830孔</t>
  </si>
  <si>
    <t>传感器分区试接用(主控走扩展板)</t>
  </si>
  <si>
    <t>舵机延长线</t>
  </si>
  <si>
    <t>30cm 公母 3P</t>
  </si>
  <si>
    <t>舵机延长线 30cm</t>
  </si>
  <si>
    <t>舵机到扩展板的距离余量</t>
  </si>
  <si>
    <t>免焊快速接线端子</t>
  </si>
  <si>
    <t>WAGO 型 2 位 / 3 位混装</t>
  </si>
  <si>
    <t>快速接线端子 按压式</t>
  </si>
  <si>
    <t>5V / GND 电源分线(ESP32 + 舵机 + GPS 共轨)免焊神器</t>
  </si>
  <si>
    <t>扎带 + 魔术贴</t>
  </si>
  <si>
    <t>尼龙扎带 3×100mm 100 根 + 魔术贴扎带卷</t>
  </si>
  <si>
    <t>尼龙扎带 魔术贴扎带</t>
  </si>
  <si>
    <t>走线固定</t>
  </si>
  <si>
    <t>电工胶带</t>
  </si>
  <si>
    <t>PVC 绝缘胶带</t>
  </si>
  <si>
    <t>卷</t>
  </si>
  <si>
    <t>硅胶软管</t>
  </si>
  <si>
    <t>内径 3mm 硅胶管 2m</t>
  </si>
  <si>
    <t>硅胶管 3mm</t>
  </si>
  <si>
    <t>皮托软管延长备用(套装自带 40cm)</t>
  </si>
  <si>
    <t>机构五金</t>
  </si>
  <si>
    <t>球头拉杆组</t>
  </si>
  <si>
    <t>M2 球头 ×10 + M2 螺纹杆 30/40mm 各 5 根</t>
  </si>
  <si>
    <t>M2 球头拉杆 舵机</t>
  </si>
  <si>
    <t>叶片曲柄联动拉杆;比弯钢丝省事精准,纯螺纹装配免工具活</t>
  </si>
  <si>
    <t>舵机快速调节夹</t>
  </si>
  <si>
    <t>易拉夹(拉杆锁紧器)Φ2</t>
  </si>
  <si>
    <t>舵机 易拉夹 快速调节器</t>
  </si>
  <si>
    <t>拉杆长度免焊免弯微调</t>
  </si>
  <si>
    <t>不锈钢轴</t>
  </si>
  <si>
    <t>Φ2mm 圆棒 300mm</t>
  </si>
  <si>
    <t>不锈钢棒 2mm</t>
  </si>
  <si>
    <t>叶片转轴,按叶宽剪断</t>
  </si>
  <si>
    <t>黄铜轴套管</t>
  </si>
  <si>
    <t>内 2 / 外 3mm 黄铜管 300mm</t>
  </si>
  <si>
    <t>黄铜管 2x3mm</t>
  </si>
  <si>
    <t>打印件轴孔内衬,转动顺滑不磨料</t>
  </si>
  <si>
    <t>扭簧试配包</t>
  </si>
  <si>
    <t>线径 0.3-0.5mm 小扭簧多规格</t>
  </si>
  <si>
    <t>包</t>
  </si>
  <si>
    <t>小扭簧 多规格 扭转弹簧</t>
  </si>
  <si>
    <t>断电回位;多规格试配,目标回位力矩 ≤0.5kg·cm(舵机 3.5kg·cm 裕量 7 倍)</t>
  </si>
  <si>
    <t>螺丝套装</t>
  </si>
  <si>
    <t>M2 / M2.5 / M3 盒装(含螺母垫片)</t>
  </si>
  <si>
    <t>M2 M3 螺丝盒装套装</t>
  </si>
  <si>
    <t>模块与机构紧固</t>
  </si>
  <si>
    <t>尼龙柱套装</t>
  </si>
  <si>
    <t>M3 尼龙隔离柱 / 螺柱盒装</t>
  </si>
  <si>
    <t>M3 尼龙柱 套装</t>
  </si>
  <si>
    <t>模块架高装在打印底板上,防短路</t>
  </si>
  <si>
    <t>3D 打印耗材</t>
  </si>
  <si>
    <t>PETG 1kg(装车件);台架件用 PLA 快速迭代</t>
  </si>
  <si>
    <t>PETG 耗材 1kg</t>
  </si>
  <si>
    <t>★2026-07-02 路线变更:打印全走农场代打 PA12/PA12-CF(见 cad/dist),自有耗材仅备用;原 PLA→PETG 路线作废</t>
  </si>
  <si>
    <t>工具辅材</t>
  </si>
  <si>
    <t>热熔胶枪</t>
  </si>
  <si>
    <t>小号胶枪 + 胶棒 20 根</t>
  </si>
  <si>
    <t>热熔胶枪 套装</t>
  </si>
  <si>
    <t>模块固定 / 线缆应力释放(点名件)</t>
  </si>
  <si>
    <t>数显游标卡尺</t>
  </si>
  <si>
    <t>150mm</t>
  </si>
  <si>
    <t>把</t>
  </si>
  <si>
    <t>数显游标卡尺 150</t>
  </si>
  <si>
    <t>机构 CAD 量尺寸必备</t>
  </si>
  <si>
    <t>万用表</t>
  </si>
  <si>
    <t>有电压 / 通断挡即可</t>
  </si>
  <si>
    <t>台</t>
  </si>
  <si>
    <t>★上电前查 5V/GND 短路,是免焊流程的安全底线</t>
  </si>
  <si>
    <t>精密螺丝刀套装</t>
  </si>
  <si>
    <t>十字 / 一字小号</t>
  </si>
  <si>
    <t>3M VHB 双面胶</t>
  </si>
  <si>
    <t>宽 10-20mm</t>
  </si>
  <si>
    <t>充电宝 / 模块临时固定</t>
  </si>
  <si>
    <t>USB 读卡器</t>
  </si>
  <si>
    <t>microSD → USB</t>
  </si>
  <si>
    <t>microSD 读卡器 typec</t>
  </si>
  <si>
    <t>取 SD 日志</t>
  </si>
  <si>
    <t>环氧 AB 胶</t>
  </si>
  <si>
    <t>5 分钟固化型(哥俩好/爱牢达)</t>
  </si>
  <si>
    <t>支</t>
  </si>
  <si>
    <t>环氧AB胶 5分钟</t>
  </si>
  <si>
    <t>★PA12 尼龙粘不住 502/CA:钢轴入叶槽、曲柄固轴端一律用环氧,粘接面砂纸打毛</t>
  </si>
  <si>
    <t>合计(全部)</t>
  </si>
  <si>
    <t>其中 · 必买合计</t>
  </si>
  <si>
    <t>其中 · 已有可跳过(家里都有则可省)</t>
  </si>
  <si>
    <t>其中 · 可选</t>
  </si>
  <si>
    <t>注:参考单价为 2026-07 淘宝行情估算,以实际商品页为准;合计作量级参考。</t>
  </si>
  <si>
    <t>备注 / 触发条件</t>
  </si>
  <si>
    <t>降压模块</t>
  </si>
  <si>
    <t>12V→5V / 3A,带螺丝端子已焊好</t>
  </si>
  <si>
    <t>取车电(OQ-3 阶段二);端子拧线免焊</t>
  </si>
  <si>
    <t>保险丝座 + 保险丝</t>
  </si>
  <si>
    <t>车用插片保险丝座带线 + 2A / 5A 保险丝</t>
  </si>
  <si>
    <t>取车电必加(OQ-10 安全);带线免焊对接 WAGO</t>
  </si>
  <si>
    <t>电源开关</t>
  </si>
  <si>
    <t>车用防水船型开关(带线)</t>
  </si>
  <si>
    <t>整车电门</t>
  </si>
  <si>
    <t>外壳</t>
  </si>
  <si>
    <t>防水接线盒</t>
  </si>
  <si>
    <t>ABS IP65 小号(约 100×68×50)</t>
  </si>
  <si>
    <t>电子仓;走线孔用胶枪封</t>
  </si>
  <si>
    <t>连接</t>
  </si>
  <si>
    <t>XH2.54 成品线</t>
  </si>
  <si>
    <t>双头 XH 2/3/4P 成品线各若干</t>
  </si>
  <si>
    <t>配定制底板用;★买成品,免压线钳</t>
  </si>
  <si>
    <t>PCB</t>
  </si>
  <si>
    <t>模块底板定制</t>
  </si>
  <si>
    <t>嘉立创:PCB 5 片(约 ¥30)+ SMT / 插件焊接服务(排母·XH 座·端子·电容·保险丝座全由板厂焊)</t>
  </si>
  <si>
    <t>★台架六步验证通过后再设计;引脚映射按 docs/img/wiring-v1.svg 固化;详见「说明与PCB方案」页</t>
  </si>
  <si>
    <t>机构</t>
  </si>
  <si>
    <t>PETG 装车件重打</t>
  </si>
  <si>
    <t>台架 PLA 件定型后换 PETG 重打</t>
  </si>
  <si>
    <t>耗材已列台架清单</t>
  </si>
  <si>
    <t>阶段二合计</t>
  </si>
  <si>
    <t>项目</t>
  </si>
  <si>
    <t>内容</t>
  </si>
  <si>
    <t>审核依据</t>
  </si>
  <si>
    <t>2026-07-02 · 基于 docs/prototype-v1.md 初版 BOM 全面复审;新增约束:owner 零烙铁——不做任何锡焊,一切需焊接的工序走网上打板 + 贴片 / 插件焊接(嘉立创类)。</t>
  </si>
  <si>
    <t>免焊三原则</t>
  </si>
  <si>
    <t>① 模块一律选「已焊排针」发货选项(GY 系模块默认散针须自焊——不接受);② 连接一律走杜邦线 / 螺丝端子 / WAGO 免焊端子;③ 确实需要焊的,全部集中到定制底板由板厂焊完,到手即插。</t>
  </si>
  <si>
    <t>与初版 BOM 的变更 1</t>
  </si>
  <si>
    <t>新增「ESP32 38Pin 扩展板(端子引出)」:免焊关键件,同时解决 ESP32 直插面包板盖孔的问题,且抗振可直接沿用到装车。</t>
  </si>
  <si>
    <t>与初版 BOM 的变更 2</t>
  </si>
  <si>
    <t>新增「GH1.25 4P 转杜邦母转接线」:经查证,MS4525DO 空速计套装出厂标配 JST-GH 小座线(Pixhawk 规格),不是杜邦——不转接就得动烙铁。</t>
  </si>
  <si>
    <t>与初版 BOM 的变更 3</t>
  </si>
  <si>
    <t>DS3231 指定 LIR2032 充电版:通配 CR2032 需拆板上充电电阻(焊接活),不做。</t>
  </si>
  <si>
    <t>与初版 BOM 的变更 4</t>
  </si>
  <si>
    <t>机构联动由「弯钢丝拉杆」改为「M2 球头拉杆 + 易拉夹」:纯螺纹装配 + 免焊微调,单人可造性更好。</t>
  </si>
  <si>
    <t>与初版 BOM 的变更 5</t>
  </si>
  <si>
    <t>备件策略:低价易损件(ESP32 / 舵机 / IMU / BMP280 / SD 模块 / SD 卡)一律 ×2;贵件(空速计 / GPS / RTC)×1。</t>
  </si>
  <si>
    <t>与初版 BOM 的变更 6</t>
  </si>
  <si>
    <t>补齐辅材:热熔胶枪(点名)、WAGO 免焊端子、USB 取电转接板、扎带 / 魔术贴 / 双面胶、轴材(2mm 不锈钢轴 + 黄铜轴套)、尼龙柱、读卡器等。</t>
  </si>
  <si>
    <t>与初版 BOM 的变更 7</t>
  </si>
  <si>
    <t>舵机型号已查证坐实:EMAX ES3054 = 17g · 数字 · 金属齿 · 双滚珠轴承 · 3.0-3.5kg·cm · 行程 145°(700-2300µs),符合拍板的「17-25g 迷你金属数字舵」。</t>
  </si>
  <si>
    <t>与初版 BOM 的变更 8</t>
  </si>
  <si>
    <t>SD 卡明确 32GB Class10 并标注 FAT32 格式化要求(Windows 默认 exFAT,SD 库不识别)。</t>
  </si>
  <si>
    <t>PCB 定制要不要?</t>
  </si>
  <si>
    <t>【结论】台架阶段:不需要。模块全部已焊排针 + 扩展板端子 + 杜邦 / WAGO,可 100% 零烙铁跑通全链(prototype-v1.md §6 的六步验证)。</t>
  </si>
  <si>
    <t>PCB 定制方案(装车阶段·推荐)</t>
  </si>
  <si>
    <t>定制一块「模块底板(carrier board)」:板上只放排母(模块像内存条一样插上)、XH 座、螺丝端子、470µF 电容位、保险丝座——全部由嘉立创贴片 + 插件焊接服务焊好,到手零烙铁。作用:消灭杜邦线(抗振可靠)、走线固化、装进防水盒。费用约 ¥90-150(PCB 5 片 ~¥30 + 焊接服务与元件)。</t>
  </si>
  <si>
    <t>PCB 为什么不做芯片级全集成</t>
  </si>
  <si>
    <t>把 ESP32 / MS4525 / MPU6050 等芯片直接画上板虽最紧凑,但:① MS4525DO 芯片单买难且贵;② 一次成板,画错即报废重投,迭代风险高;③ 违背「第一周可观察 / 单人可造」铁律。模块底板方案模块可插拔、坏件即换,迭代零风险——v1 的正确档位。</t>
  </si>
  <si>
    <t>PCB 时点</t>
  </si>
  <si>
    <t>台架六步验证全部跑通、引脚 / 参数不再变动后,再按 docs/img/wiring-v1.svg 的映射画底板(那时接线图升级为底板原理图)。</t>
  </si>
  <si>
    <t>价格声明</t>
  </si>
  <si>
    <t>参考单价为 2026-07 淘宝行情估算,以实际商品页为准;合计作量级参考。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</si>
</sst>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sz val="1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0"/>
      <color rgb="FF1F4E79"/>
      <name val="微软雅黑"/>
      <family val="2"/>
      <charset val="134"/>
    </font>
    <font>
      <sz val="10"/>
      <color rgb="FF80808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rgb="FFC00000"/>
      <name val="微软雅黑"/>
      <family val="2"/>
      <charset val="134"/>
    </font>
    <font>
      <b/>
      <sz val="10"/>
      <color rgb="FF1F4E7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4" fontId="1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4" fontId="6" fillId="0" borderId="0" xfId="0" applyNumberFormat="1" applyFont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5" customWidth="1"/>
    <col min="2" max="2" width="10" customWidth="1"/>
    <col min="3" max="3" width="20" customWidth="1"/>
    <col min="4" max="4" width="44" customWidth="1"/>
    <col min="5" max="5" width="6" customWidth="1"/>
    <col min="6" max="6" width="5" customWidth="1"/>
    <col min="7" max="7" width="11" customWidth="1"/>
    <col min="8" max="8" width="10" customWidth="1"/>
    <col min="9" max="9" width="26" customWidth="1"/>
    <col min="10" max="10" width="11" customWidth="1"/>
    <col min="11" max="11" width="56" customWidth="1"/>
  </cols>
  <sheetData>
    <row r="1" spans="1:11" ht="15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>
      <c r="A2" s="2">
        <v>1</v>
      </c>
      <c r="B2" s="3" t="s">
        <v>11</v>
      </c>
      <c r="C2" s="3" t="s">
        <v>12</v>
      </c>
      <c r="D2" s="3" t="s">
        <v>13</v>
      </c>
      <c r="E2" s="2">
        <v>2</v>
      </c>
      <c r="F2" s="2" t="s">
        <v>14</v>
      </c>
      <c r="G2" s="4">
        <v>25</v>
      </c>
      <c r="H2" s="4">
        <f t="shared" ref="H2:H39" si="0">E2*G2</f>
        <v>50</v>
      </c>
      <c r="I2" s="3" t="s">
        <v>15</v>
      </c>
      <c r="J2" s="5" t="s">
        <v>16</v>
      </c>
      <c r="K2" s="6" t="s">
        <v>17</v>
      </c>
    </row>
    <row r="3" spans="1:11" ht="30" customHeight="1">
      <c r="A3" s="2">
        <v>2</v>
      </c>
      <c r="B3" s="3" t="s">
        <v>11</v>
      </c>
      <c r="C3" s="3" t="s">
        <v>18</v>
      </c>
      <c r="D3" s="3" t="s">
        <v>19</v>
      </c>
      <c r="E3" s="2">
        <v>1</v>
      </c>
      <c r="F3" s="2" t="s">
        <v>14</v>
      </c>
      <c r="G3" s="4">
        <v>12</v>
      </c>
      <c r="H3" s="4">
        <f t="shared" si="0"/>
        <v>12</v>
      </c>
      <c r="I3" s="3" t="s">
        <v>20</v>
      </c>
      <c r="J3" s="5" t="s">
        <v>16</v>
      </c>
      <c r="K3" s="6" t="s">
        <v>21</v>
      </c>
    </row>
    <row r="4" spans="1:11" ht="30" customHeight="1">
      <c r="A4" s="2">
        <v>3</v>
      </c>
      <c r="B4" s="3" t="s">
        <v>11</v>
      </c>
      <c r="C4" s="3" t="s">
        <v>22</v>
      </c>
      <c r="D4" s="3" t="s">
        <v>23</v>
      </c>
      <c r="E4" s="2">
        <v>1</v>
      </c>
      <c r="F4" s="2" t="s">
        <v>24</v>
      </c>
      <c r="G4" s="4">
        <v>180</v>
      </c>
      <c r="H4" s="4">
        <f t="shared" si="0"/>
        <v>180</v>
      </c>
      <c r="I4" s="3" t="s">
        <v>25</v>
      </c>
      <c r="J4" s="5" t="s">
        <v>16</v>
      </c>
      <c r="K4" s="3" t="s">
        <v>26</v>
      </c>
    </row>
    <row r="5" spans="1:11" ht="30" customHeight="1">
      <c r="A5" s="2">
        <v>4</v>
      </c>
      <c r="B5" s="3" t="s">
        <v>11</v>
      </c>
      <c r="C5" s="3" t="s">
        <v>27</v>
      </c>
      <c r="D5" s="3" t="s">
        <v>28</v>
      </c>
      <c r="E5" s="2">
        <v>2</v>
      </c>
      <c r="F5" s="2" t="s">
        <v>29</v>
      </c>
      <c r="G5" s="4">
        <v>4</v>
      </c>
      <c r="H5" s="4">
        <f t="shared" si="0"/>
        <v>8</v>
      </c>
      <c r="I5" s="3" t="s">
        <v>30</v>
      </c>
      <c r="J5" s="5" t="s">
        <v>16</v>
      </c>
      <c r="K5" s="6" t="s">
        <v>31</v>
      </c>
    </row>
    <row r="6" spans="1:11" ht="30" customHeight="1">
      <c r="A6" s="2">
        <v>5</v>
      </c>
      <c r="B6" s="3" t="s">
        <v>11</v>
      </c>
      <c r="C6" s="3" t="s">
        <v>32</v>
      </c>
      <c r="D6" s="3" t="s">
        <v>33</v>
      </c>
      <c r="E6" s="2">
        <v>2</v>
      </c>
      <c r="F6" s="2" t="s">
        <v>34</v>
      </c>
      <c r="G6" s="4">
        <v>45</v>
      </c>
      <c r="H6" s="4">
        <f t="shared" si="0"/>
        <v>90</v>
      </c>
      <c r="I6" s="3" t="s">
        <v>35</v>
      </c>
      <c r="J6" s="5" t="s">
        <v>16</v>
      </c>
      <c r="K6" s="3" t="s">
        <v>36</v>
      </c>
    </row>
    <row r="7" spans="1:11" ht="30" customHeight="1">
      <c r="A7" s="2">
        <v>6</v>
      </c>
      <c r="B7" s="3" t="s">
        <v>11</v>
      </c>
      <c r="C7" s="3" t="s">
        <v>37</v>
      </c>
      <c r="D7" s="3" t="s">
        <v>38</v>
      </c>
      <c r="E7" s="2">
        <v>2</v>
      </c>
      <c r="F7" s="2" t="s">
        <v>14</v>
      </c>
      <c r="G7" s="4">
        <v>6</v>
      </c>
      <c r="H7" s="4">
        <f t="shared" si="0"/>
        <v>12</v>
      </c>
      <c r="I7" s="3" t="s">
        <v>39</v>
      </c>
      <c r="J7" s="5" t="s">
        <v>16</v>
      </c>
      <c r="K7" s="6" t="s">
        <v>40</v>
      </c>
    </row>
    <row r="8" spans="1:11" ht="30" customHeight="1">
      <c r="A8" s="2">
        <v>7</v>
      </c>
      <c r="B8" s="3" t="s">
        <v>11</v>
      </c>
      <c r="C8" s="3" t="s">
        <v>41</v>
      </c>
      <c r="D8" s="3" t="s">
        <v>42</v>
      </c>
      <c r="E8" s="2">
        <v>2</v>
      </c>
      <c r="F8" s="2" t="s">
        <v>14</v>
      </c>
      <c r="G8" s="4">
        <v>5</v>
      </c>
      <c r="H8" s="4">
        <f t="shared" si="0"/>
        <v>10</v>
      </c>
      <c r="I8" s="3" t="s">
        <v>43</v>
      </c>
      <c r="J8" s="5" t="s">
        <v>16</v>
      </c>
      <c r="K8" s="6" t="s">
        <v>44</v>
      </c>
    </row>
    <row r="9" spans="1:11" ht="30" customHeight="1">
      <c r="A9" s="2">
        <v>8</v>
      </c>
      <c r="B9" s="3" t="s">
        <v>11</v>
      </c>
      <c r="C9" s="3" t="s">
        <v>45</v>
      </c>
      <c r="D9" s="3" t="s">
        <v>46</v>
      </c>
      <c r="E9" s="2">
        <v>1</v>
      </c>
      <c r="F9" s="2" t="s">
        <v>14</v>
      </c>
      <c r="G9" s="4">
        <v>10</v>
      </c>
      <c r="H9" s="4">
        <f t="shared" si="0"/>
        <v>10</v>
      </c>
      <c r="I9" s="3" t="s">
        <v>47</v>
      </c>
      <c r="J9" s="5" t="s">
        <v>16</v>
      </c>
      <c r="K9" s="6" t="s">
        <v>48</v>
      </c>
    </row>
    <row r="10" spans="1:11" ht="15.6" customHeight="1">
      <c r="A10" s="2">
        <v>9</v>
      </c>
      <c r="B10" s="3" t="s">
        <v>11</v>
      </c>
      <c r="C10" s="3" t="s">
        <v>49</v>
      </c>
      <c r="D10" s="3" t="s">
        <v>50</v>
      </c>
      <c r="E10" s="2">
        <v>2</v>
      </c>
      <c r="F10" s="2" t="s">
        <v>14</v>
      </c>
      <c r="G10" s="4">
        <v>3</v>
      </c>
      <c r="H10" s="4">
        <f t="shared" si="0"/>
        <v>6</v>
      </c>
      <c r="I10" s="3" t="s">
        <v>51</v>
      </c>
      <c r="J10" s="5" t="s">
        <v>16</v>
      </c>
      <c r="K10" s="6" t="s">
        <v>52</v>
      </c>
    </row>
    <row r="11" spans="1:11" ht="30" customHeight="1">
      <c r="A11" s="2">
        <v>10</v>
      </c>
      <c r="B11" s="3" t="s">
        <v>11</v>
      </c>
      <c r="C11" s="3" t="s">
        <v>53</v>
      </c>
      <c r="D11" s="3" t="s">
        <v>54</v>
      </c>
      <c r="E11" s="2">
        <v>2</v>
      </c>
      <c r="F11" s="2" t="s">
        <v>55</v>
      </c>
      <c r="G11" s="4">
        <v>20</v>
      </c>
      <c r="H11" s="4">
        <f t="shared" si="0"/>
        <v>40</v>
      </c>
      <c r="I11" s="3" t="s">
        <v>56</v>
      </c>
      <c r="J11" s="5" t="s">
        <v>16</v>
      </c>
      <c r="K11" s="6" t="s">
        <v>57</v>
      </c>
    </row>
    <row r="12" spans="1:11" ht="30" customHeight="1">
      <c r="A12" s="2">
        <v>11</v>
      </c>
      <c r="B12" s="3" t="s">
        <v>11</v>
      </c>
      <c r="C12" s="3" t="s">
        <v>58</v>
      </c>
      <c r="D12" s="3" t="s">
        <v>59</v>
      </c>
      <c r="E12" s="2">
        <v>1</v>
      </c>
      <c r="F12" s="2" t="s">
        <v>14</v>
      </c>
      <c r="G12" s="4">
        <v>25</v>
      </c>
      <c r="H12" s="4">
        <f t="shared" si="0"/>
        <v>25</v>
      </c>
      <c r="I12" s="3" t="s">
        <v>60</v>
      </c>
      <c r="J12" s="5" t="s">
        <v>16</v>
      </c>
      <c r="K12" s="6" t="s">
        <v>61</v>
      </c>
    </row>
    <row r="13" spans="1:11" ht="30" customHeight="1">
      <c r="A13" s="2">
        <v>12</v>
      </c>
      <c r="B13" s="3" t="s">
        <v>62</v>
      </c>
      <c r="C13" s="3" t="s">
        <v>63</v>
      </c>
      <c r="D13" s="3" t="s">
        <v>64</v>
      </c>
      <c r="E13" s="2">
        <v>1</v>
      </c>
      <c r="F13" s="2" t="s">
        <v>65</v>
      </c>
      <c r="G13" s="4">
        <v>50</v>
      </c>
      <c r="H13" s="4">
        <f t="shared" si="0"/>
        <v>50</v>
      </c>
      <c r="I13" s="3" t="s">
        <v>66</v>
      </c>
      <c r="J13" s="2" t="s">
        <v>67</v>
      </c>
      <c r="K13" s="6" t="s">
        <v>68</v>
      </c>
    </row>
    <row r="14" spans="1:11" ht="15.6" customHeight="1">
      <c r="A14" s="2">
        <v>13</v>
      </c>
      <c r="B14" s="3" t="s">
        <v>62</v>
      </c>
      <c r="C14" s="3" t="s">
        <v>69</v>
      </c>
      <c r="D14" s="3" t="s">
        <v>70</v>
      </c>
      <c r="E14" s="2">
        <v>2</v>
      </c>
      <c r="F14" s="2" t="s">
        <v>65</v>
      </c>
      <c r="G14" s="4">
        <v>3</v>
      </c>
      <c r="H14" s="4">
        <f t="shared" si="0"/>
        <v>6</v>
      </c>
      <c r="I14" s="3" t="s">
        <v>71</v>
      </c>
      <c r="J14" s="5" t="s">
        <v>16</v>
      </c>
      <c r="K14" s="3" t="s">
        <v>72</v>
      </c>
    </row>
    <row r="15" spans="1:11" ht="30" customHeight="1">
      <c r="A15" s="2">
        <v>14</v>
      </c>
      <c r="B15" s="3" t="s">
        <v>62</v>
      </c>
      <c r="C15" s="3" t="s">
        <v>73</v>
      </c>
      <c r="D15" s="3" t="s">
        <v>74</v>
      </c>
      <c r="E15" s="2">
        <v>5</v>
      </c>
      <c r="F15" s="2" t="s">
        <v>34</v>
      </c>
      <c r="G15" s="4">
        <v>0.6</v>
      </c>
      <c r="H15" s="4">
        <f t="shared" si="0"/>
        <v>3</v>
      </c>
      <c r="I15" s="3" t="s">
        <v>75</v>
      </c>
      <c r="J15" s="5" t="s">
        <v>16</v>
      </c>
      <c r="K15" s="3" t="s">
        <v>76</v>
      </c>
    </row>
    <row r="16" spans="1:11" ht="15" customHeight="1">
      <c r="A16" s="2">
        <v>15</v>
      </c>
      <c r="B16" s="3" t="s">
        <v>62</v>
      </c>
      <c r="C16" s="3" t="s">
        <v>77</v>
      </c>
      <c r="D16" s="3" t="s">
        <v>78</v>
      </c>
      <c r="E16" s="2">
        <v>1</v>
      </c>
      <c r="F16" s="2" t="s">
        <v>29</v>
      </c>
      <c r="G16" s="4">
        <v>8</v>
      </c>
      <c r="H16" s="4">
        <f t="shared" si="0"/>
        <v>8</v>
      </c>
      <c r="I16" s="3" t="s">
        <v>79</v>
      </c>
      <c r="J16" s="2" t="s">
        <v>67</v>
      </c>
      <c r="K16" s="6" t="s">
        <v>80</v>
      </c>
    </row>
    <row r="17" spans="1:11" ht="15" customHeight="1">
      <c r="A17" s="2">
        <v>16</v>
      </c>
      <c r="B17" s="3" t="s">
        <v>62</v>
      </c>
      <c r="C17" s="3" t="s">
        <v>81</v>
      </c>
      <c r="D17" s="3" t="s">
        <v>82</v>
      </c>
      <c r="E17" s="2">
        <v>1</v>
      </c>
      <c r="F17" s="2" t="s">
        <v>29</v>
      </c>
      <c r="G17" s="4">
        <v>5</v>
      </c>
      <c r="H17" s="4">
        <f t="shared" si="0"/>
        <v>5</v>
      </c>
      <c r="I17" s="3" t="s">
        <v>83</v>
      </c>
      <c r="J17" s="7" t="s">
        <v>84</v>
      </c>
      <c r="K17" s="3" t="s">
        <v>85</v>
      </c>
    </row>
    <row r="18" spans="1:11" ht="15.6" customHeight="1">
      <c r="A18" s="2">
        <v>17</v>
      </c>
      <c r="B18" s="3" t="s">
        <v>86</v>
      </c>
      <c r="C18" s="3" t="s">
        <v>87</v>
      </c>
      <c r="D18" s="3" t="s">
        <v>88</v>
      </c>
      <c r="E18" s="2">
        <v>1</v>
      </c>
      <c r="F18" s="2" t="s">
        <v>89</v>
      </c>
      <c r="G18" s="4">
        <v>12</v>
      </c>
      <c r="H18" s="4">
        <f t="shared" si="0"/>
        <v>12</v>
      </c>
      <c r="I18" s="3" t="s">
        <v>90</v>
      </c>
      <c r="J18" s="5" t="s">
        <v>16</v>
      </c>
      <c r="K18" s="3" t="s">
        <v>91</v>
      </c>
    </row>
    <row r="19" spans="1:11" ht="15.6" customHeight="1">
      <c r="A19" s="2">
        <v>18</v>
      </c>
      <c r="B19" s="3" t="s">
        <v>86</v>
      </c>
      <c r="C19" s="3" t="s">
        <v>92</v>
      </c>
      <c r="D19" s="3" t="s">
        <v>93</v>
      </c>
      <c r="E19" s="2">
        <v>2</v>
      </c>
      <c r="F19" s="2" t="s">
        <v>14</v>
      </c>
      <c r="G19" s="4">
        <v>6</v>
      </c>
      <c r="H19" s="4">
        <f t="shared" si="0"/>
        <v>12</v>
      </c>
      <c r="I19" s="3" t="s">
        <v>94</v>
      </c>
      <c r="J19" s="5" t="s">
        <v>16</v>
      </c>
      <c r="K19" s="3" t="s">
        <v>95</v>
      </c>
    </row>
    <row r="20" spans="1:11" ht="15.6" customHeight="1">
      <c r="A20" s="2">
        <v>19</v>
      </c>
      <c r="B20" s="3" t="s">
        <v>86</v>
      </c>
      <c r="C20" s="3" t="s">
        <v>96</v>
      </c>
      <c r="D20" s="3" t="s">
        <v>97</v>
      </c>
      <c r="E20" s="2">
        <v>2</v>
      </c>
      <c r="F20" s="2" t="s">
        <v>29</v>
      </c>
      <c r="G20" s="4">
        <v>2</v>
      </c>
      <c r="H20" s="4">
        <f t="shared" si="0"/>
        <v>4</v>
      </c>
      <c r="I20" s="3" t="s">
        <v>98</v>
      </c>
      <c r="J20" s="5" t="s">
        <v>16</v>
      </c>
      <c r="K20" s="3" t="s">
        <v>99</v>
      </c>
    </row>
    <row r="21" spans="1:11" ht="15.6" customHeight="1">
      <c r="A21" s="2">
        <v>20</v>
      </c>
      <c r="B21" s="3" t="s">
        <v>86</v>
      </c>
      <c r="C21" s="3" t="s">
        <v>100</v>
      </c>
      <c r="D21" s="3" t="s">
        <v>101</v>
      </c>
      <c r="E21" s="2">
        <v>10</v>
      </c>
      <c r="F21" s="2" t="s">
        <v>65</v>
      </c>
      <c r="G21" s="4">
        <v>1.2</v>
      </c>
      <c r="H21" s="4">
        <f t="shared" si="0"/>
        <v>12</v>
      </c>
      <c r="I21" s="3" t="s">
        <v>102</v>
      </c>
      <c r="J21" s="5" t="s">
        <v>16</v>
      </c>
      <c r="K21" s="3" t="s">
        <v>103</v>
      </c>
    </row>
    <row r="22" spans="1:11" ht="15.6" customHeight="1">
      <c r="A22" s="2">
        <v>21</v>
      </c>
      <c r="B22" s="3" t="s">
        <v>86</v>
      </c>
      <c r="C22" s="3" t="s">
        <v>104</v>
      </c>
      <c r="D22" s="3" t="s">
        <v>105</v>
      </c>
      <c r="E22" s="2">
        <v>1</v>
      </c>
      <c r="F22" s="2" t="s">
        <v>24</v>
      </c>
      <c r="G22" s="4">
        <v>8</v>
      </c>
      <c r="H22" s="4">
        <f t="shared" si="0"/>
        <v>8</v>
      </c>
      <c r="I22" s="3" t="s">
        <v>106</v>
      </c>
      <c r="J22" s="5" t="s">
        <v>16</v>
      </c>
      <c r="K22" s="3" t="s">
        <v>107</v>
      </c>
    </row>
    <row r="23" spans="1:11" ht="15.6" customHeight="1">
      <c r="A23" s="2">
        <v>22</v>
      </c>
      <c r="B23" s="3" t="s">
        <v>86</v>
      </c>
      <c r="C23" s="3" t="s">
        <v>108</v>
      </c>
      <c r="D23" s="3" t="s">
        <v>109</v>
      </c>
      <c r="E23" s="2">
        <v>1</v>
      </c>
      <c r="F23" s="2" t="s">
        <v>110</v>
      </c>
      <c r="G23" s="4">
        <v>3</v>
      </c>
      <c r="H23" s="4">
        <f t="shared" si="0"/>
        <v>3</v>
      </c>
      <c r="I23" s="3" t="s">
        <v>108</v>
      </c>
      <c r="J23" s="5" t="s">
        <v>16</v>
      </c>
      <c r="K23" s="3"/>
    </row>
    <row r="24" spans="1:11" ht="15" customHeight="1">
      <c r="A24" s="2">
        <v>23</v>
      </c>
      <c r="B24" s="3" t="s">
        <v>86</v>
      </c>
      <c r="C24" s="3" t="s">
        <v>111</v>
      </c>
      <c r="D24" s="3" t="s">
        <v>112</v>
      </c>
      <c r="E24" s="2">
        <v>1</v>
      </c>
      <c r="F24" s="2" t="s">
        <v>29</v>
      </c>
      <c r="G24" s="4">
        <v>5</v>
      </c>
      <c r="H24" s="4">
        <f t="shared" si="0"/>
        <v>5</v>
      </c>
      <c r="I24" s="3" t="s">
        <v>113</v>
      </c>
      <c r="J24" s="7" t="s">
        <v>84</v>
      </c>
      <c r="K24" s="3" t="s">
        <v>114</v>
      </c>
    </row>
    <row r="25" spans="1:11" ht="15.6" customHeight="1">
      <c r="A25" s="2">
        <v>24</v>
      </c>
      <c r="B25" s="3" t="s">
        <v>115</v>
      </c>
      <c r="C25" s="3" t="s">
        <v>116</v>
      </c>
      <c r="D25" s="3" t="s">
        <v>117</v>
      </c>
      <c r="E25" s="2">
        <v>1</v>
      </c>
      <c r="F25" s="2" t="s">
        <v>24</v>
      </c>
      <c r="G25" s="4">
        <v>15</v>
      </c>
      <c r="H25" s="4">
        <f t="shared" si="0"/>
        <v>15</v>
      </c>
      <c r="I25" s="3" t="s">
        <v>118</v>
      </c>
      <c r="J25" s="5" t="s">
        <v>16</v>
      </c>
      <c r="K25" s="3" t="s">
        <v>119</v>
      </c>
    </row>
    <row r="26" spans="1:11" ht="15.6" customHeight="1">
      <c r="A26" s="2">
        <v>25</v>
      </c>
      <c r="B26" s="3" t="s">
        <v>115</v>
      </c>
      <c r="C26" s="3" t="s">
        <v>120</v>
      </c>
      <c r="D26" s="3" t="s">
        <v>121</v>
      </c>
      <c r="E26" s="2">
        <v>10</v>
      </c>
      <c r="F26" s="2" t="s">
        <v>65</v>
      </c>
      <c r="G26" s="4">
        <v>0.8</v>
      </c>
      <c r="H26" s="4">
        <f t="shared" si="0"/>
        <v>8</v>
      </c>
      <c r="I26" s="3" t="s">
        <v>122</v>
      </c>
      <c r="J26" s="5" t="s">
        <v>16</v>
      </c>
      <c r="K26" s="3" t="s">
        <v>123</v>
      </c>
    </row>
    <row r="27" spans="1:11" ht="15.6" customHeight="1">
      <c r="A27" s="2">
        <v>26</v>
      </c>
      <c r="B27" s="3" t="s">
        <v>115</v>
      </c>
      <c r="C27" s="3" t="s">
        <v>124</v>
      </c>
      <c r="D27" s="3" t="s">
        <v>125</v>
      </c>
      <c r="E27" s="2">
        <v>2</v>
      </c>
      <c r="F27" s="2" t="s">
        <v>29</v>
      </c>
      <c r="G27" s="4">
        <v>3</v>
      </c>
      <c r="H27" s="4">
        <f t="shared" si="0"/>
        <v>6</v>
      </c>
      <c r="I27" s="3" t="s">
        <v>126</v>
      </c>
      <c r="J27" s="5" t="s">
        <v>16</v>
      </c>
      <c r="K27" s="3" t="s">
        <v>127</v>
      </c>
    </row>
    <row r="28" spans="1:11" ht="15.6" customHeight="1">
      <c r="A28" s="2">
        <v>27</v>
      </c>
      <c r="B28" s="3" t="s">
        <v>115</v>
      </c>
      <c r="C28" s="3" t="s">
        <v>128</v>
      </c>
      <c r="D28" s="3" t="s">
        <v>129</v>
      </c>
      <c r="E28" s="2">
        <v>2</v>
      </c>
      <c r="F28" s="2" t="s">
        <v>29</v>
      </c>
      <c r="G28" s="4">
        <v>4</v>
      </c>
      <c r="H28" s="4">
        <f t="shared" si="0"/>
        <v>8</v>
      </c>
      <c r="I28" s="3" t="s">
        <v>130</v>
      </c>
      <c r="J28" s="5" t="s">
        <v>16</v>
      </c>
      <c r="K28" s="3" t="s">
        <v>131</v>
      </c>
    </row>
    <row r="29" spans="1:11" ht="30" customHeight="1">
      <c r="A29" s="2">
        <v>28</v>
      </c>
      <c r="B29" s="3" t="s">
        <v>115</v>
      </c>
      <c r="C29" s="3" t="s">
        <v>132</v>
      </c>
      <c r="D29" s="3" t="s">
        <v>133</v>
      </c>
      <c r="E29" s="2">
        <v>1</v>
      </c>
      <c r="F29" s="2" t="s">
        <v>134</v>
      </c>
      <c r="G29" s="4">
        <v>12</v>
      </c>
      <c r="H29" s="4">
        <f t="shared" si="0"/>
        <v>12</v>
      </c>
      <c r="I29" s="3" t="s">
        <v>135</v>
      </c>
      <c r="J29" s="5" t="s">
        <v>16</v>
      </c>
      <c r="K29" s="3" t="s">
        <v>136</v>
      </c>
    </row>
    <row r="30" spans="1:11" ht="15.6" customHeight="1">
      <c r="A30" s="2">
        <v>29</v>
      </c>
      <c r="B30" s="3" t="s">
        <v>115</v>
      </c>
      <c r="C30" s="3" t="s">
        <v>137</v>
      </c>
      <c r="D30" s="3" t="s">
        <v>138</v>
      </c>
      <c r="E30" s="2">
        <v>1</v>
      </c>
      <c r="F30" s="2" t="s">
        <v>89</v>
      </c>
      <c r="G30" s="4">
        <v>20</v>
      </c>
      <c r="H30" s="4">
        <f t="shared" si="0"/>
        <v>20</v>
      </c>
      <c r="I30" s="3" t="s">
        <v>139</v>
      </c>
      <c r="J30" s="5" t="s">
        <v>16</v>
      </c>
      <c r="K30" s="3" t="s">
        <v>140</v>
      </c>
    </row>
    <row r="31" spans="1:11" ht="15.6" customHeight="1">
      <c r="A31" s="2">
        <v>30</v>
      </c>
      <c r="B31" s="3" t="s">
        <v>115</v>
      </c>
      <c r="C31" s="3" t="s">
        <v>141</v>
      </c>
      <c r="D31" s="3" t="s">
        <v>142</v>
      </c>
      <c r="E31" s="2">
        <v>1</v>
      </c>
      <c r="F31" s="2" t="s">
        <v>89</v>
      </c>
      <c r="G31" s="4">
        <v>10</v>
      </c>
      <c r="H31" s="4">
        <f t="shared" si="0"/>
        <v>10</v>
      </c>
      <c r="I31" s="3" t="s">
        <v>143</v>
      </c>
      <c r="J31" s="5" t="s">
        <v>16</v>
      </c>
      <c r="K31" s="3" t="s">
        <v>144</v>
      </c>
    </row>
    <row r="32" spans="1:11" ht="15" customHeight="1">
      <c r="A32" s="2">
        <v>31</v>
      </c>
      <c r="B32" s="3" t="s">
        <v>115</v>
      </c>
      <c r="C32" s="3" t="s">
        <v>145</v>
      </c>
      <c r="D32" s="3" t="s">
        <v>146</v>
      </c>
      <c r="E32" s="2">
        <v>1</v>
      </c>
      <c r="F32" s="2" t="s">
        <v>110</v>
      </c>
      <c r="G32" s="4">
        <v>55</v>
      </c>
      <c r="H32" s="4">
        <f t="shared" si="0"/>
        <v>55</v>
      </c>
      <c r="I32" s="3" t="s">
        <v>147</v>
      </c>
      <c r="J32" s="2" t="s">
        <v>84</v>
      </c>
      <c r="K32" s="3" t="s">
        <v>148</v>
      </c>
    </row>
    <row r="33" spans="1:11" ht="15.6" customHeight="1">
      <c r="A33" s="2">
        <v>32</v>
      </c>
      <c r="B33" s="3" t="s">
        <v>149</v>
      </c>
      <c r="C33" s="3" t="s">
        <v>150</v>
      </c>
      <c r="D33" s="3" t="s">
        <v>151</v>
      </c>
      <c r="E33" s="2">
        <v>1</v>
      </c>
      <c r="F33" s="2" t="s">
        <v>24</v>
      </c>
      <c r="G33" s="4">
        <v>25</v>
      </c>
      <c r="H33" s="4">
        <f t="shared" si="0"/>
        <v>25</v>
      </c>
      <c r="I33" s="3" t="s">
        <v>152</v>
      </c>
      <c r="J33" s="5" t="s">
        <v>16</v>
      </c>
      <c r="K33" s="3" t="s">
        <v>153</v>
      </c>
    </row>
    <row r="34" spans="1:11" ht="15" customHeight="1">
      <c r="A34" s="2">
        <v>33</v>
      </c>
      <c r="B34" s="3" t="s">
        <v>149</v>
      </c>
      <c r="C34" s="3" t="s">
        <v>154</v>
      </c>
      <c r="D34" s="3" t="s">
        <v>155</v>
      </c>
      <c r="E34" s="2">
        <v>1</v>
      </c>
      <c r="F34" s="2" t="s">
        <v>156</v>
      </c>
      <c r="G34" s="4">
        <v>25</v>
      </c>
      <c r="H34" s="4">
        <f t="shared" si="0"/>
        <v>25</v>
      </c>
      <c r="I34" s="3" t="s">
        <v>157</v>
      </c>
      <c r="J34" s="2" t="s">
        <v>67</v>
      </c>
      <c r="K34" s="3" t="s">
        <v>158</v>
      </c>
    </row>
    <row r="35" spans="1:11" ht="15" customHeight="1">
      <c r="A35" s="2">
        <v>34</v>
      </c>
      <c r="B35" s="3" t="s">
        <v>149</v>
      </c>
      <c r="C35" s="3" t="s">
        <v>159</v>
      </c>
      <c r="D35" s="3" t="s">
        <v>160</v>
      </c>
      <c r="E35" s="2">
        <v>1</v>
      </c>
      <c r="F35" s="2" t="s">
        <v>161</v>
      </c>
      <c r="G35" s="4">
        <v>40</v>
      </c>
      <c r="H35" s="4">
        <f t="shared" si="0"/>
        <v>40</v>
      </c>
      <c r="I35" s="3" t="s">
        <v>159</v>
      </c>
      <c r="J35" s="2" t="s">
        <v>67</v>
      </c>
      <c r="K35" s="6" t="s">
        <v>162</v>
      </c>
    </row>
    <row r="36" spans="1:11" ht="15" customHeight="1">
      <c r="A36" s="2">
        <v>35</v>
      </c>
      <c r="B36" s="3" t="s">
        <v>149</v>
      </c>
      <c r="C36" s="3" t="s">
        <v>163</v>
      </c>
      <c r="D36" s="3" t="s">
        <v>164</v>
      </c>
      <c r="E36" s="2">
        <v>1</v>
      </c>
      <c r="F36" s="2" t="s">
        <v>24</v>
      </c>
      <c r="G36" s="4">
        <v>15</v>
      </c>
      <c r="H36" s="4">
        <f t="shared" si="0"/>
        <v>15</v>
      </c>
      <c r="I36" s="3" t="s">
        <v>163</v>
      </c>
      <c r="J36" s="2" t="s">
        <v>67</v>
      </c>
      <c r="K36" s="3"/>
    </row>
    <row r="37" spans="1:11" ht="15.6" customHeight="1">
      <c r="A37" s="2">
        <v>36</v>
      </c>
      <c r="B37" s="3" t="s">
        <v>149</v>
      </c>
      <c r="C37" s="3" t="s">
        <v>165</v>
      </c>
      <c r="D37" s="3" t="s">
        <v>166</v>
      </c>
      <c r="E37" s="2">
        <v>1</v>
      </c>
      <c r="F37" s="2" t="s">
        <v>110</v>
      </c>
      <c r="G37" s="4">
        <v>8</v>
      </c>
      <c r="H37" s="4">
        <f t="shared" si="0"/>
        <v>8</v>
      </c>
      <c r="I37" s="3" t="s">
        <v>165</v>
      </c>
      <c r="J37" s="5" t="s">
        <v>16</v>
      </c>
      <c r="K37" s="3" t="s">
        <v>167</v>
      </c>
    </row>
    <row r="38" spans="1:11" ht="15" customHeight="1">
      <c r="A38" s="2">
        <v>37</v>
      </c>
      <c r="B38" s="3" t="s">
        <v>149</v>
      </c>
      <c r="C38" s="3" t="s">
        <v>168</v>
      </c>
      <c r="D38" s="3" t="s">
        <v>169</v>
      </c>
      <c r="E38" s="2">
        <v>1</v>
      </c>
      <c r="F38" s="2" t="s">
        <v>65</v>
      </c>
      <c r="G38" s="4">
        <v>8</v>
      </c>
      <c r="H38" s="4">
        <f t="shared" si="0"/>
        <v>8</v>
      </c>
      <c r="I38" s="3" t="s">
        <v>170</v>
      </c>
      <c r="J38" s="2" t="s">
        <v>67</v>
      </c>
      <c r="K38" s="3" t="s">
        <v>171</v>
      </c>
    </row>
    <row r="39" spans="1:11" ht="15" customHeight="1">
      <c r="A39" s="2">
        <v>38</v>
      </c>
      <c r="B39" s="3" t="s">
        <v>149</v>
      </c>
      <c r="C39" s="3" t="s">
        <v>172</v>
      </c>
      <c r="D39" s="3" t="s">
        <v>173</v>
      </c>
      <c r="E39" s="2">
        <v>1</v>
      </c>
      <c r="F39" s="2" t="s">
        <v>174</v>
      </c>
      <c r="G39" s="4">
        <v>10</v>
      </c>
      <c r="H39" s="4">
        <f t="shared" si="0"/>
        <v>10</v>
      </c>
      <c r="I39" s="3" t="s">
        <v>175</v>
      </c>
      <c r="J39" s="14" t="s">
        <v>16</v>
      </c>
      <c r="K39" s="15" t="s">
        <v>176</v>
      </c>
    </row>
    <row r="40" spans="1:11" ht="15.6" customHeight="1">
      <c r="A40" s="8"/>
      <c r="B40" s="9"/>
      <c r="C40" s="9"/>
      <c r="D40" s="9"/>
      <c r="E40" s="8"/>
      <c r="F40" s="8"/>
      <c r="G40" s="10"/>
      <c r="H40" s="10"/>
      <c r="I40" s="9"/>
      <c r="J40" s="8"/>
      <c r="K40" s="9"/>
    </row>
    <row r="41" spans="1:11" ht="15.6" customHeight="1">
      <c r="A41" s="8"/>
      <c r="B41" s="9"/>
      <c r="C41" s="9"/>
      <c r="D41" s="11" t="s">
        <v>177</v>
      </c>
      <c r="E41" s="8"/>
      <c r="F41" s="8"/>
      <c r="G41" s="10"/>
      <c r="H41" s="12">
        <f>SUM(H2:H39)</f>
        <v>836</v>
      </c>
      <c r="I41" s="9"/>
      <c r="J41" s="8"/>
      <c r="K41" s="9"/>
    </row>
    <row r="42" spans="1:11" ht="15.6" customHeight="1">
      <c r="A42" s="8"/>
      <c r="B42" s="9"/>
      <c r="C42" s="9"/>
      <c r="D42" s="11" t="s">
        <v>178</v>
      </c>
      <c r="E42" s="8"/>
      <c r="F42" s="8"/>
      <c r="G42" s="10"/>
      <c r="H42" s="12">
        <f>SUMIF(J2:J39,"必买",H2:H39)</f>
        <v>625</v>
      </c>
      <c r="I42" s="9"/>
      <c r="J42" s="8"/>
      <c r="K42" s="9"/>
    </row>
    <row r="43" spans="1:11" ht="15.6" customHeight="1">
      <c r="A43" s="8"/>
      <c r="B43" s="9"/>
      <c r="C43" s="9"/>
      <c r="D43" s="11" t="s">
        <v>179</v>
      </c>
      <c r="E43" s="8"/>
      <c r="F43" s="8"/>
      <c r="G43" s="10"/>
      <c r="H43" s="12">
        <f>SUMIF(J2:J39,"已有可跳过",H2:H39)</f>
        <v>146</v>
      </c>
      <c r="I43" s="9"/>
      <c r="J43" s="8"/>
      <c r="K43" s="9"/>
    </row>
    <row r="44" spans="1:11" ht="15" customHeight="1">
      <c r="A44" s="8"/>
      <c r="B44" s="9"/>
      <c r="C44" s="9"/>
      <c r="D44" s="11" t="s">
        <v>180</v>
      </c>
      <c r="E44" s="8"/>
      <c r="F44" s="8"/>
      <c r="G44" s="10"/>
      <c r="H44" s="12">
        <f>SUMIF(J2:J39,"可选",H2:H39)</f>
        <v>65</v>
      </c>
      <c r="I44" s="9"/>
      <c r="J44" s="8"/>
      <c r="K44" s="9"/>
    </row>
    <row r="45" spans="1:11" ht="30" customHeight="1">
      <c r="A45" s="8"/>
      <c r="B45" s="9"/>
      <c r="C45" s="9"/>
      <c r="D45" s="9"/>
      <c r="E45" s="8"/>
      <c r="F45" s="8"/>
      <c r="G45" s="10"/>
      <c r="H45" s="10"/>
      <c r="I45" s="9"/>
      <c r="J45" s="8"/>
      <c r="K45" s="9"/>
    </row>
    <row r="46" spans="1:11" ht="30">
      <c r="A46" s="8"/>
      <c r="B46" s="9"/>
      <c r="C46" s="9"/>
      <c r="D46" s="9" t="s">
        <v>181</v>
      </c>
      <c r="E46" s="8"/>
      <c r="F46" s="8"/>
      <c r="G46" s="10"/>
      <c r="H46" s="10"/>
      <c r="I46" s="9"/>
      <c r="J46" s="8"/>
      <c r="K46" s="9"/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5" customWidth="1"/>
    <col min="2" max="2" width="8" customWidth="1"/>
    <col min="3" max="3" width="18" customWidth="1"/>
    <col min="4" max="4" width="52" customWidth="1"/>
    <col min="5" max="5" width="6" customWidth="1"/>
    <col min="6" max="6" width="11" customWidth="1"/>
    <col min="7" max="7" width="10" customWidth="1"/>
    <col min="8" max="8" width="56" customWidth="1"/>
  </cols>
  <sheetData>
    <row r="1" spans="1:8" ht="15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182</v>
      </c>
    </row>
    <row r="2" spans="1:8" ht="15" customHeight="1">
      <c r="A2" s="2">
        <v>1</v>
      </c>
      <c r="B2" s="3" t="s">
        <v>62</v>
      </c>
      <c r="C2" s="3" t="s">
        <v>183</v>
      </c>
      <c r="D2" s="3" t="s">
        <v>184</v>
      </c>
      <c r="E2" s="2">
        <v>1</v>
      </c>
      <c r="F2" s="4">
        <v>10</v>
      </c>
      <c r="G2" s="4">
        <f t="shared" ref="G2:G8" si="0">E2*F2</f>
        <v>10</v>
      </c>
      <c r="H2" s="3" t="s">
        <v>185</v>
      </c>
    </row>
    <row r="3" spans="1:8" ht="15" customHeight="1">
      <c r="A3" s="2">
        <v>2</v>
      </c>
      <c r="B3" s="3" t="s">
        <v>62</v>
      </c>
      <c r="C3" s="3" t="s">
        <v>186</v>
      </c>
      <c r="D3" s="3" t="s">
        <v>187</v>
      </c>
      <c r="E3" s="2">
        <v>2</v>
      </c>
      <c r="F3" s="4">
        <v>4</v>
      </c>
      <c r="G3" s="4">
        <f t="shared" si="0"/>
        <v>8</v>
      </c>
      <c r="H3" s="3" t="s">
        <v>188</v>
      </c>
    </row>
    <row r="4" spans="1:8" ht="15" customHeight="1">
      <c r="A4" s="2">
        <v>3</v>
      </c>
      <c r="B4" s="3" t="s">
        <v>62</v>
      </c>
      <c r="C4" s="3" t="s">
        <v>189</v>
      </c>
      <c r="D4" s="3" t="s">
        <v>190</v>
      </c>
      <c r="E4" s="2">
        <v>1</v>
      </c>
      <c r="F4" s="4">
        <v>6</v>
      </c>
      <c r="G4" s="4">
        <f t="shared" si="0"/>
        <v>6</v>
      </c>
      <c r="H4" s="3" t="s">
        <v>191</v>
      </c>
    </row>
    <row r="5" spans="1:8" ht="15" customHeight="1">
      <c r="A5" s="2">
        <v>4</v>
      </c>
      <c r="B5" s="3" t="s">
        <v>192</v>
      </c>
      <c r="C5" s="3" t="s">
        <v>193</v>
      </c>
      <c r="D5" s="3" t="s">
        <v>194</v>
      </c>
      <c r="E5" s="2">
        <v>1</v>
      </c>
      <c r="F5" s="4">
        <v>15</v>
      </c>
      <c r="G5" s="4">
        <f t="shared" si="0"/>
        <v>15</v>
      </c>
      <c r="H5" s="3" t="s">
        <v>195</v>
      </c>
    </row>
    <row r="6" spans="1:8" ht="15" customHeight="1">
      <c r="A6" s="2">
        <v>5</v>
      </c>
      <c r="B6" s="3" t="s">
        <v>196</v>
      </c>
      <c r="C6" s="3" t="s">
        <v>197</v>
      </c>
      <c r="D6" s="3" t="s">
        <v>198</v>
      </c>
      <c r="E6" s="2">
        <v>1</v>
      </c>
      <c r="F6" s="4">
        <v>12</v>
      </c>
      <c r="G6" s="4">
        <f t="shared" si="0"/>
        <v>12</v>
      </c>
      <c r="H6" s="6" t="s">
        <v>199</v>
      </c>
    </row>
    <row r="7" spans="1:8" ht="30" customHeight="1">
      <c r="A7" s="2">
        <v>6</v>
      </c>
      <c r="B7" s="3" t="s">
        <v>200</v>
      </c>
      <c r="C7" s="3" t="s">
        <v>201</v>
      </c>
      <c r="D7" s="3" t="s">
        <v>202</v>
      </c>
      <c r="E7" s="2">
        <v>1</v>
      </c>
      <c r="F7" s="4">
        <v>120</v>
      </c>
      <c r="G7" s="4">
        <f t="shared" si="0"/>
        <v>120</v>
      </c>
      <c r="H7" s="6" t="s">
        <v>203</v>
      </c>
    </row>
    <row r="8" spans="1:8" ht="15" customHeight="1">
      <c r="A8" s="2">
        <v>7</v>
      </c>
      <c r="B8" s="3" t="s">
        <v>204</v>
      </c>
      <c r="C8" s="3" t="s">
        <v>205</v>
      </c>
      <c r="D8" s="3" t="s">
        <v>206</v>
      </c>
      <c r="E8" s="2">
        <v>1</v>
      </c>
      <c r="F8" s="4">
        <v>0</v>
      </c>
      <c r="G8" s="4">
        <f t="shared" si="0"/>
        <v>0</v>
      </c>
      <c r="H8" s="3" t="s">
        <v>207</v>
      </c>
    </row>
    <row r="9" spans="1:8" ht="15" customHeight="1">
      <c r="A9" s="8"/>
      <c r="B9" s="9"/>
      <c r="C9" s="9"/>
      <c r="D9" s="9"/>
      <c r="E9" s="8"/>
      <c r="F9" s="10"/>
      <c r="G9" s="10"/>
      <c r="H9" s="9"/>
    </row>
    <row r="10" spans="1:8" ht="15.6" customHeight="1">
      <c r="A10" s="8"/>
      <c r="B10" s="9"/>
      <c r="C10" s="9"/>
      <c r="D10" s="11" t="s">
        <v>208</v>
      </c>
      <c r="E10" s="8"/>
      <c r="F10" s="10"/>
      <c r="G10" s="12">
        <f>SUM(G2:G8)</f>
        <v>171</v>
      </c>
      <c r="H10" s="9"/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6" customWidth="1"/>
    <col min="2" max="2" width="130" customWidth="1"/>
  </cols>
  <sheetData>
    <row r="1" spans="1:2" ht="15.6" customHeight="1">
      <c r="A1" s="13" t="s">
        <v>209</v>
      </c>
      <c r="B1" s="13" t="s">
        <v>210</v>
      </c>
    </row>
    <row r="2" spans="1:2" ht="30" customHeight="1">
      <c r="A2" s="11" t="s">
        <v>211</v>
      </c>
      <c r="B2" s="9" t="s">
        <v>212</v>
      </c>
    </row>
    <row r="3" spans="1:2" ht="30" customHeight="1">
      <c r="A3" s="11" t="s">
        <v>213</v>
      </c>
      <c r="B3" s="9" t="s">
        <v>214</v>
      </c>
    </row>
    <row r="4" spans="1:2" ht="15.6" customHeight="1">
      <c r="A4" s="11" t="s">
        <v>215</v>
      </c>
      <c r="B4" s="9" t="s">
        <v>216</v>
      </c>
    </row>
    <row r="5" spans="1:2" ht="15.6" customHeight="1">
      <c r="A5" s="11" t="s">
        <v>217</v>
      </c>
      <c r="B5" s="9" t="s">
        <v>218</v>
      </c>
    </row>
    <row r="6" spans="1:2" ht="15.6" customHeight="1">
      <c r="A6" s="11" t="s">
        <v>219</v>
      </c>
      <c r="B6" s="9" t="s">
        <v>220</v>
      </c>
    </row>
    <row r="7" spans="1:2" ht="15.6" customHeight="1">
      <c r="A7" s="11" t="s">
        <v>221</v>
      </c>
      <c r="B7" s="9" t="s">
        <v>222</v>
      </c>
    </row>
    <row r="8" spans="1:2" ht="15.6" customHeight="1">
      <c r="A8" s="11" t="s">
        <v>223</v>
      </c>
      <c r="B8" s="9" t="s">
        <v>224</v>
      </c>
    </row>
    <row r="9" spans="1:2" ht="15.6" customHeight="1">
      <c r="A9" s="11" t="s">
        <v>225</v>
      </c>
      <c r="B9" s="9" t="s">
        <v>226</v>
      </c>
    </row>
    <row r="10" spans="1:2" ht="30" customHeight="1">
      <c r="A10" s="11" t="s">
        <v>227</v>
      </c>
      <c r="B10" s="9" t="s">
        <v>228</v>
      </c>
    </row>
    <row r="11" spans="1:2" ht="15.6" customHeight="1">
      <c r="A11" s="11" t="s">
        <v>229</v>
      </c>
      <c r="B11" s="9" t="s">
        <v>230</v>
      </c>
    </row>
    <row r="12" spans="1:2" ht="15" customHeight="1">
      <c r="A12" s="9"/>
      <c r="B12" s="9"/>
    </row>
    <row r="13" spans="1:2" ht="15.6" customHeight="1">
      <c r="A13" s="11" t="s">
        <v>231</v>
      </c>
      <c r="B13" s="9" t="s">
        <v>232</v>
      </c>
    </row>
    <row r="14" spans="1:2" ht="31.2" customHeight="1">
      <c r="A14" s="11" t="s">
        <v>233</v>
      </c>
      <c r="B14" s="9" t="s">
        <v>234</v>
      </c>
    </row>
    <row r="15" spans="1:2" ht="30" customHeight="1">
      <c r="A15" s="11" t="s">
        <v>235</v>
      </c>
      <c r="B15" s="9" t="s">
        <v>236</v>
      </c>
    </row>
    <row r="16" spans="1:2" ht="15.6" customHeight="1">
      <c r="A16" s="11" t="s">
        <v>237</v>
      </c>
      <c r="B16" s="9" t="s">
        <v>238</v>
      </c>
    </row>
    <row r="17" spans="1:2" ht="15" customHeight="1">
      <c r="A17" s="9"/>
      <c r="B17" s="9"/>
    </row>
    <row r="18" spans="1:2" ht="15.6" customHeight="1">
      <c r="A18" s="11" t="s">
        <v>239</v>
      </c>
      <c r="B18" s="9" t="s">
        <v>240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台架采购清单</vt:lpstr>
      <vt:lpstr>阶段二·装车追加(暂不买)</vt:lpstr>
      <vt:lpstr>说明与PCB方案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 Shanire</cp:lastModifiedBy>
  <dcterms:created xsi:type="dcterms:W3CDTF">2026-07-02T05:31:40Z</dcterms:created>
  <dcterms:modified xsi:type="dcterms:W3CDTF">2026-07-02T06:35:56Z</dcterms:modified>
</cp:coreProperties>
</file>